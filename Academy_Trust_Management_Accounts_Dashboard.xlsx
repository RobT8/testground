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 Data" sheetId="2" state="visible" r:id="rId2"/>
    <sheet name="Income &amp; Expenditure" sheetId="3" state="visible" r:id="rId3"/>
    <sheet name="Balance Sheet" sheetId="4" state="visible" r:id="rId4"/>
    <sheet name="Cash Flow" sheetId="5" state="visible" r:id="rId5"/>
    <sheet name="KPIs" sheetId="6" state="visible" r:id="rId6"/>
    <sheet name="Comment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"/>
    <numFmt numFmtId="165" formatCode="0.0%;[Red](0.0%)"/>
    <numFmt numFmtId="166" formatCode="#,##0,&quot;k&quot;;[Red](#,##0,&quot;k&quot;)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9DEE8"/>
      <sz val="11"/>
    </font>
    <font>
      <b val="1"/>
      <color rgb="00FFFFFF"/>
      <sz val="10"/>
    </font>
    <font>
      <b val="1"/>
      <color rgb="001F3864"/>
      <sz val="12"/>
    </font>
    <font>
      <b val="1"/>
      <color rgb="001F3864"/>
    </font>
    <font>
      <b val="1"/>
      <color rgb="00FFFFFF"/>
      <sz val="12"/>
    </font>
    <font>
      <b val="1"/>
      <color rgb="00FFFFFF"/>
    </font>
    <font>
      <i val="1"/>
      <color rgb="00666666"/>
      <sz val="9"/>
    </font>
    <font>
      <b val="1"/>
      <color rgb="001F3864"/>
      <sz val="11"/>
    </font>
    <font>
      <b val="1"/>
    </font>
    <font>
      <b val="1"/>
      <sz val="10"/>
    </font>
    <font>
      <b val="1"/>
      <color rgb="002E7D32"/>
      <sz val="10"/>
    </font>
    <font>
      <color rgb="00555555"/>
      <sz val="9"/>
    </font>
    <font>
      <b val="1"/>
      <color rgb="00B26A00"/>
      <sz val="10"/>
    </font>
    <font>
      <b val="1"/>
      <color rgb="00666666"/>
      <sz val="9"/>
    </font>
    <font>
      <b val="1"/>
      <color rgb="001F3864"/>
      <sz val="20"/>
    </font>
    <font>
      <color rgb="00888888"/>
      <sz val="9"/>
    </font>
    <font>
      <b val="1"/>
      <color rgb="002E7D32"/>
      <sz val="9"/>
    </font>
    <font>
      <b val="1"/>
      <color rgb="00B26A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2F5FA"/>
      </patternFill>
    </fill>
    <fill>
      <patternFill patternType="solid">
        <fgColor rgb="002E9CA6"/>
      </patternFill>
    </fill>
    <fill>
      <patternFill patternType="solid">
        <fgColor rgb="00E3F2E5"/>
      </patternFill>
    </fill>
    <fill>
      <patternFill patternType="solid">
        <fgColor rgb="00FDF1DC"/>
      </patternFill>
    </fill>
  </fills>
  <borders count="16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  <border>
      <bottom style="medium">
        <color rgb="001F3864"/>
      </bottom>
    </border>
    <border>
      <top style="thin">
        <color rgb="001F3864"/>
      </top>
      <bottom style="double">
        <color rgb="001F3864"/>
      </bottom>
    </border>
    <border>
      <left style="medium">
        <color rgb="002E9CA6"/>
      </left>
      <top style="thin">
        <color rgb="00D9DEE8"/>
      </top>
    </border>
    <border>
      <top style="thin">
        <color rgb="00D9DEE8"/>
      </top>
    </border>
    <border>
      <right style="thin">
        <color rgb="00D9DEE8"/>
      </right>
      <top style="thin">
        <color rgb="00D9DEE8"/>
      </top>
    </border>
    <border>
      <left style="medium">
        <color rgb="002E9CA6"/>
      </left>
    </border>
    <border/>
    <border>
      <right style="thin">
        <color rgb="00D9DEE8"/>
      </right>
    </border>
    <border>
      <left style="medium">
        <color rgb="002E9CA6"/>
      </left>
      <bottom style="thin">
        <color rgb="00D9DEE8"/>
      </bottom>
    </border>
    <border>
      <bottom style="thin">
        <color rgb="00D9DEE8"/>
      </bottom>
    </border>
    <border>
      <right style="thin">
        <color rgb="00D9DEE8"/>
      </right>
      <bottom style="thin">
        <color rgb="00D9DEE8"/>
      </bottom>
    </border>
    <border>
      <left style="medium">
        <color rgb="00C9A227"/>
      </left>
      <top style="thin">
        <color rgb="00D9DEE8"/>
      </top>
    </border>
    <border>
      <left style="medium">
        <color rgb="00C9A227"/>
      </left>
    </border>
    <border>
      <left style="medium">
        <color rgb="00C9A227"/>
      </left>
      <bottom style="thin">
        <color rgb="00D9DEE8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15" fillId="4" borderId="4" applyAlignment="1" pivotButton="0" quotePrefix="0" xfId="0">
      <alignment horizontal="center" vertical="bottom"/>
    </xf>
    <xf numFmtId="0" fontId="0" fillId="4" borderId="5" pivotButton="0" quotePrefix="0" xfId="0"/>
    <xf numFmtId="0" fontId="0" fillId="4" borderId="6" pivotButton="0" quotePrefix="0" xfId="0"/>
    <xf numFmtId="0" fontId="15" fillId="4" borderId="13" applyAlignment="1" pivotButton="0" quotePrefix="0" xfId="0">
      <alignment horizontal="center" vertical="bottom"/>
    </xf>
    <xf numFmtId="166" fontId="16" fillId="4" borderId="7" applyAlignment="1" pivotButton="0" quotePrefix="0" xfId="0">
      <alignment horizontal="center" vertical="center"/>
    </xf>
    <xf numFmtId="0" fontId="0" fillId="4" borderId="8" pivotButton="0" quotePrefix="0" xfId="0"/>
    <xf numFmtId="0" fontId="0" fillId="4" borderId="9" pivotButton="0" quotePrefix="0" xfId="0"/>
    <xf numFmtId="166" fontId="16" fillId="4" borderId="14" applyAlignment="1" pivotButton="0" quotePrefix="0" xfId="0">
      <alignment horizontal="center" vertical="center"/>
    </xf>
    <xf numFmtId="0" fontId="0" fillId="4" borderId="7" pivotButton="0" quotePrefix="0" xfId="0"/>
    <xf numFmtId="0" fontId="0" fillId="4" borderId="14" pivotButton="0" quotePrefix="0" xfId="0"/>
    <xf numFmtId="0" fontId="17" fillId="4" borderId="10" applyAlignment="1" pivotButton="0" quotePrefix="0" xfId="0">
      <alignment horizontal="center" vertical="top"/>
    </xf>
    <xf numFmtId="0" fontId="0" fillId="4" borderId="11" pivotButton="0" quotePrefix="0" xfId="0"/>
    <xf numFmtId="0" fontId="0" fillId="4" borderId="12" pivotButton="0" quotePrefix="0" xfId="0"/>
    <xf numFmtId="0" fontId="18" fillId="4" borderId="15" applyAlignment="1" pivotButton="0" quotePrefix="0" xfId="0">
      <alignment horizontal="center" vertical="top"/>
    </xf>
    <xf numFmtId="165" fontId="16" fillId="4" borderId="14" applyAlignment="1" pivotButton="0" quotePrefix="0" xfId="0">
      <alignment horizontal="center" vertical="center"/>
    </xf>
    <xf numFmtId="3" fontId="16" fillId="4" borderId="14" applyAlignment="1" pivotButton="0" quotePrefix="0" xfId="0">
      <alignment horizontal="center" vertical="center"/>
    </xf>
    <xf numFmtId="0" fontId="18" fillId="4" borderId="10" applyAlignment="1" pivotButton="0" quotePrefix="0" xfId="0">
      <alignment horizontal="center" vertical="top"/>
    </xf>
    <xf numFmtId="0" fontId="19" fillId="4" borderId="15" applyAlignment="1" pivotButton="0" quotePrefix="0" xfId="0">
      <alignment horizontal="center" vertical="top"/>
    </xf>
    <xf numFmtId="0" fontId="9" fillId="0" borderId="0" pivotButton="0" quotePrefix="0" xfId="0"/>
    <xf numFmtId="0" fontId="12" fillId="4" borderId="0" applyAlignment="1" pivotButton="0" quotePrefix="0" xfId="0">
      <alignment vertical="center" wrapText="1"/>
    </xf>
    <xf numFmtId="0" fontId="0" fillId="4" borderId="0" pivotButton="0" quotePrefix="0" xfId="0"/>
    <xf numFmtId="0" fontId="14" fillId="4" borderId="0" applyAlignment="1" pivotButton="0" quotePrefix="0" xfId="0">
      <alignment vertical="center" wrapText="1"/>
    </xf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4" fillId="0" borderId="2" pivotButton="0" quotePrefix="0" xfId="0"/>
    <xf numFmtId="0" fontId="0" fillId="0" borderId="2" pivotButton="0" quotePrefix="0" xfId="0"/>
    <xf numFmtId="165" fontId="0" fillId="0" borderId="1" pivotButton="0" quotePrefix="0" xfId="0"/>
    <xf numFmtId="165" fontId="0" fillId="4" borderId="1" pivotButton="0" quotePrefix="0" xfId="0"/>
    <xf numFmtId="0" fontId="5" fillId="4" borderId="3" pivotButton="0" quotePrefix="0" xfId="0"/>
    <xf numFmtId="164" fontId="5" fillId="4" borderId="3" pivotButton="0" quotePrefix="0" xfId="0"/>
    <xf numFmtId="165" fontId="5" fillId="4" borderId="3" pivotButton="0" quotePrefix="0" xfId="0"/>
    <xf numFmtId="0" fontId="7" fillId="2" borderId="1" pivotButton="0" quotePrefix="0" xfId="0"/>
    <xf numFmtId="164" fontId="7" fillId="2" borderId="1" pivotButton="0" quotePrefix="0" xfId="0"/>
    <xf numFmtId="165" fontId="7" fillId="2" borderId="1" pivotButton="0" quotePrefix="0" xfId="0"/>
    <xf numFmtId="0" fontId="3" fillId="3" borderId="1" applyAlignment="1" pivotButton="0" quotePrefix="0" xfId="0">
      <alignment horizontal="center"/>
    </xf>
    <xf numFmtId="0" fontId="9" fillId="0" borderId="2" pivotButton="0" quotePrefix="0" xfId="0"/>
    <xf numFmtId="0" fontId="3" fillId="5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3" fontId="10" fillId="0" borderId="1" pivotButton="0" quotePrefix="0" xfId="0"/>
    <xf numFmtId="3" fontId="5" fillId="4" borderId="3" pivotButton="0" quotePrefix="0" xfId="0"/>
    <xf numFmtId="0" fontId="10" fillId="0" borderId="1" pivotButton="0" quotePrefix="0" xfId="0"/>
    <xf numFmtId="164" fontId="10" fillId="0" borderId="1" pivotButton="0" quotePrefix="0" xfId="0"/>
    <xf numFmtId="3" fontId="7" fillId="2" borderId="1" pivotButton="0" quotePrefix="0" xfId="0"/>
    <xf numFmtId="0" fontId="11" fillId="0" borderId="1" pivotButton="0" quotePrefix="0" xfId="0"/>
    <xf numFmtId="165" fontId="9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3" fillId="0" borderId="1" applyAlignment="1" pivotButton="0" quotePrefix="0" xfId="0">
      <alignment vertical="center" wrapText="1"/>
    </xf>
    <xf numFmtId="0" fontId="11" fillId="4" borderId="1" pivotButton="0" quotePrefix="0" xfId="0"/>
    <xf numFmtId="165" fontId="9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3" fillId="4" borderId="1" applyAlignment="1" pivotButton="0" quotePrefix="0" xfId="0">
      <alignment vertical="center" wrapText="1"/>
    </xf>
    <xf numFmtId="1" fontId="9" fillId="0" borderId="1" applyAlignment="1" pivotButton="0" quotePrefix="0" xfId="0">
      <alignment horizontal="center"/>
    </xf>
    <xf numFmtId="0" fontId="14" fillId="7" borderId="1" applyAlignment="1" pivotButton="0" quotePrefix="0" xfId="0">
      <alignment horizontal="center"/>
    </xf>
    <xf numFmtId="3" fontId="9" fillId="4" borderId="1" applyAlignment="1" pivotButton="0" quotePrefix="0" xfId="0">
      <alignment horizontal="center"/>
    </xf>
    <xf numFmtId="3" fontId="9" fillId="0" borderId="1" applyAlignment="1" pivotButton="0" quotePrefix="0" xfId="0">
      <alignment horizontal="center"/>
    </xf>
    <xf numFmtId="1" fontId="9" fillId="4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B71C1C"/>
      </font>
    </dxf>
    <dxf>
      <font>
        <b val="1"/>
        <color rgb="00B71C1C"/>
      </font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'Monthly Data'!C5</f>
            </strRef>
          </tx>
          <spPr>
            <a:solidFill>
              <a:srgbClr val="2E9CA6"/>
            </a:solidFill>
            <a:ln>
              <a:prstDash val="solid"/>
            </a:ln>
          </spPr>
          <cat>
            <numRef>
              <f>'Monthly Data'!$B$6:$B$17</f>
            </numRef>
          </cat>
          <val>
            <numRef>
              <f>'Monthly Data'!$C$6:$C$17</f>
            </numRef>
          </val>
        </ser>
        <ser>
          <idx val="1"/>
          <order val="1"/>
          <tx>
            <strRef>
              <f>'Monthly Data'!E5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'Monthly Data'!$B$6:$B$17</f>
            </numRef>
          </cat>
          <val>
            <numRef>
              <f>'Monthly Data'!$E$6:$E$17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'Monthly Data'!G5</f>
            </strRef>
          </tx>
          <spPr>
            <a:ln w="28000">
              <a:solidFill>
                <a:srgbClr val="2E9CA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Data'!$B$6:$B$17</f>
            </numRef>
          </cat>
          <val>
            <numRef>
              <f>'Monthly Data'!$G$6:$G$17</f>
            </numRef>
          </val>
          <smooth val="0"/>
        </ser>
        <ser>
          <idx val="1"/>
          <order val="1"/>
          <tx>
            <strRef>
              <f>'Monthly Data'!H5</f>
            </strRef>
          </tx>
          <spPr>
            <a:ln w="18000">
              <a:solidFill>
                <a:srgbClr val="C9A22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Data'!$B$6:$B$17</f>
            </numRef>
          </cat>
          <val>
            <numRef>
              <f>'Monthly Data'!$H$6:$H$17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'Monthly Data'!I5</f>
            </strRef>
          </tx>
          <spPr>
            <a:solidFill>
              <a:srgbClr val="C9A227"/>
            </a:solidFill>
            <a:ln>
              <a:prstDash val="solid"/>
            </a:ln>
          </spPr>
          <cat>
            <numRef>
              <f>'Monthly Data'!$B$6:$B$17</f>
            </numRef>
          </cat>
          <val>
            <numRef>
              <f>'Monthly Data'!$I$6:$I$17</f>
            </numRef>
          </val>
        </ser>
        <ser>
          <idx val="1"/>
          <order val="1"/>
          <tx>
            <strRef>
              <f>'Monthly Data'!J5</f>
            </strRef>
          </tx>
          <spPr>
            <a:solidFill>
              <a:srgbClr val="D9DEE8"/>
            </a:solidFill>
            <a:ln>
              <a:prstDash val="solid"/>
            </a:ln>
          </spPr>
          <cat>
            <numRef>
              <f>'Monthly Data'!$B$6:$B$17</f>
            </numRef>
          </cat>
          <val>
            <numRef>
              <f>'Monthly Data'!$J$6:$J$17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522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15</row>
      <rowOff>0</rowOff>
    </from>
    <ext cx="522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33</row>
      <rowOff>0</rowOff>
    </from>
    <ext cx="522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B2:M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" customWidth="1" min="14" max="14"/>
  </cols>
  <sheetData>
    <row r="1" ht="6" customHeight="1"/>
    <row r="2" ht="30" customHeight="1">
      <c r="B2" s="1" t="inlineStr">
        <is>
          <t>EXAMPLE MULTI-ACADEMY TRUST  —  Management Accounts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18" customHeight="1">
      <c r="B3" s="3" t="inlineStr">
        <is>
          <t>Period 9  ·  May 2026  ·  Academic year 2025/26  ·  Prepared in line with DfE Academy Trust Handbook &amp; good practice guidance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5" ht="16" customHeight="1">
      <c r="B5" s="4" t="inlineStr">
        <is>
          <t>YTD INCOME</t>
        </is>
      </c>
      <c r="C5" s="5" t="n"/>
      <c r="D5" s="6" t="n"/>
      <c r="E5" s="4" t="inlineStr">
        <is>
          <t>YTD EXPENDITURE</t>
        </is>
      </c>
      <c r="F5" s="5" t="n"/>
      <c r="G5" s="6" t="n"/>
      <c r="H5" s="7" t="inlineStr">
        <is>
          <t>YTD SURPLUS / (DEFICIT)</t>
        </is>
      </c>
      <c r="I5" s="5" t="n"/>
      <c r="J5" s="6" t="n"/>
      <c r="K5" s="7" t="inlineStr">
        <is>
          <t>FY FORECAST SURPLUS</t>
        </is>
      </c>
      <c r="L5" s="5" t="n"/>
      <c r="M5" s="6" t="n"/>
    </row>
    <row r="6" ht="20" customHeight="1">
      <c r="B6" s="8">
        <f>'Income &amp; Expenditure'!C14</f>
        <v/>
      </c>
      <c r="C6" s="9" t="n"/>
      <c r="D6" s="10" t="n"/>
      <c r="E6" s="8">
        <f>'Income &amp; Expenditure'!C25</f>
        <v/>
      </c>
      <c r="F6" s="9" t="n"/>
      <c r="G6" s="10" t="n"/>
      <c r="H6" s="11">
        <f>'Income &amp; Expenditure'!C27</f>
        <v/>
      </c>
      <c r="I6" s="9" t="n"/>
      <c r="J6" s="10" t="n"/>
      <c r="K6" s="11">
        <f>'Income &amp; Expenditure'!H27</f>
        <v/>
      </c>
      <c r="L6" s="9" t="n"/>
      <c r="M6" s="10" t="n"/>
    </row>
    <row r="7" ht="14" customHeight="1">
      <c r="B7" s="12" t="n"/>
      <c r="C7" s="9" t="n"/>
      <c r="D7" s="10" t="n"/>
      <c r="E7" s="12" t="n"/>
      <c r="F7" s="9" t="n"/>
      <c r="G7" s="10" t="n"/>
      <c r="H7" s="13" t="n"/>
      <c r="I7" s="9" t="n"/>
      <c r="J7" s="10" t="n"/>
      <c r="K7" s="13" t="n"/>
      <c r="L7" s="9" t="n"/>
      <c r="M7" s="10" t="n"/>
    </row>
    <row r="8" ht="14" customHeight="1">
      <c r="B8" s="14" t="inlineStr">
        <is>
          <t>vs YTD budget — see I&amp;E tab</t>
        </is>
      </c>
      <c r="C8" s="15" t="n"/>
      <c r="D8" s="16" t="n"/>
      <c r="E8" s="14" t="inlineStr">
        <is>
          <t>vs YTD budget — see I&amp;E tab</t>
        </is>
      </c>
      <c r="F8" s="15" t="n"/>
      <c r="G8" s="16" t="n"/>
      <c r="H8" s="17" t="inlineStr">
        <is>
          <t>vs budget — favourable</t>
        </is>
      </c>
      <c r="I8" s="15" t="n"/>
      <c r="J8" s="16" t="n"/>
      <c r="K8" s="17" t="inlineStr">
        <is>
          <t>vs FY budget — favourable</t>
        </is>
      </c>
      <c r="L8" s="15" t="n"/>
      <c r="M8" s="16" t="n"/>
    </row>
    <row r="10" ht="16" customHeight="1">
      <c r="B10" s="4" t="inlineStr">
        <is>
          <t>CASH IN BANK</t>
        </is>
      </c>
      <c r="C10" s="5" t="n"/>
      <c r="D10" s="6" t="n"/>
      <c r="E10" s="4" t="inlineStr">
        <is>
          <t>REVENUE RESERVES</t>
        </is>
      </c>
      <c r="F10" s="5" t="n"/>
      <c r="G10" s="6" t="n"/>
      <c r="H10" s="7" t="inlineStr">
        <is>
          <t>STAFF COSTS % INCOME</t>
        </is>
      </c>
      <c r="I10" s="5" t="n"/>
      <c r="J10" s="6" t="n"/>
      <c r="K10" s="7" t="inlineStr">
        <is>
          <t>PUPILS ON ROLL</t>
        </is>
      </c>
      <c r="L10" s="5" t="n"/>
      <c r="M10" s="6" t="n"/>
    </row>
    <row r="11" ht="20" customHeight="1">
      <c r="B11" s="8">
        <f>'Balance Sheet'!C12</f>
        <v/>
      </c>
      <c r="C11" s="9" t="n"/>
      <c r="D11" s="10" t="n"/>
      <c r="E11" s="8">
        <f>'Balance Sheet'!C22+'Balance Sheet'!C24</f>
        <v/>
      </c>
      <c r="F11" s="9" t="n"/>
      <c r="G11" s="10" t="n"/>
      <c r="H11" s="18" t="n">
        <v>0.787</v>
      </c>
      <c r="I11" s="9" t="n"/>
      <c r="J11" s="10" t="n"/>
      <c r="K11" s="19" t="n">
        <v>1886</v>
      </c>
      <c r="L11" s="9" t="n"/>
      <c r="M11" s="10" t="n"/>
    </row>
    <row r="12" ht="14" customHeight="1">
      <c r="B12" s="12" t="n"/>
      <c r="C12" s="9" t="n"/>
      <c r="D12" s="10" t="n"/>
      <c r="E12" s="12" t="n"/>
      <c r="F12" s="9" t="n"/>
      <c r="G12" s="10" t="n"/>
      <c r="H12" s="13" t="n"/>
      <c r="I12" s="9" t="n"/>
      <c r="J12" s="10" t="n"/>
      <c r="K12" s="13" t="n"/>
      <c r="L12" s="9" t="n"/>
      <c r="M12" s="10" t="n"/>
    </row>
    <row r="13" ht="14" customHeight="1">
      <c r="B13" s="20" t="inlineStr">
        <is>
          <t>● 56 days cash — on target</t>
        </is>
      </c>
      <c r="C13" s="15" t="n"/>
      <c r="D13" s="16" t="n"/>
      <c r="E13" s="20" t="inlineStr">
        <is>
          <t>● 12.3% of income — on target</t>
        </is>
      </c>
      <c r="F13" s="15" t="n"/>
      <c r="G13" s="16" t="n"/>
      <c r="H13" s="17" t="inlineStr">
        <is>
          <t>● vs 80% ceiling — on target</t>
        </is>
      </c>
      <c r="I13" s="15" t="n"/>
      <c r="J13" s="16" t="n"/>
      <c r="K13" s="21" t="inlineStr">
        <is>
          <t>● 94.3% of capacity — watch</t>
        </is>
      </c>
      <c r="L13" s="15" t="n"/>
      <c r="M13" s="16" t="n"/>
    </row>
    <row r="15">
      <c r="B15" s="22" t="inlineStr">
        <is>
          <t>Income vs expenditure — monthly (£k)</t>
        </is>
      </c>
      <c r="H15" s="22" t="inlineStr">
        <is>
          <t>Cash balance — actual vs forecast (£k)</t>
        </is>
      </c>
    </row>
    <row r="33">
      <c r="B33" s="22" t="inlineStr">
        <is>
          <t>Monthly surplus / (deficit) vs budget (£k)</t>
        </is>
      </c>
      <c r="H33" s="22" t="inlineStr">
        <is>
          <t>At a glance</t>
        </is>
      </c>
    </row>
    <row r="35">
      <c r="H35" s="23" t="inlineStr">
        <is>
          <t>●  Finances on track: YTD surplus £52k ahead of budget; FY forecast surplus improved to £180k.</t>
        </is>
      </c>
      <c r="I35" s="24" t="n"/>
      <c r="J35" s="24" t="n"/>
      <c r="K35" s="24" t="n"/>
      <c r="L35" s="24" t="n"/>
      <c r="M35" s="24" t="n"/>
    </row>
    <row r="36">
      <c r="H36" s="24" t="n"/>
      <c r="I36" s="24" t="n"/>
      <c r="J36" s="24" t="n"/>
      <c r="K36" s="24" t="n"/>
      <c r="L36" s="24" t="n"/>
      <c r="M36" s="24" t="n"/>
    </row>
    <row r="38">
      <c r="H38" s="23" t="inlineStr">
        <is>
          <t>●  Liquidity strong: 56 days cash, reserves 12.3% of income — inside the 5–15% policy range.</t>
        </is>
      </c>
      <c r="I38" s="24" t="n"/>
      <c r="J38" s="24" t="n"/>
      <c r="K38" s="24" t="n"/>
      <c r="L38" s="24" t="n"/>
      <c r="M38" s="24" t="n"/>
    </row>
    <row r="39">
      <c r="H39" s="24" t="n"/>
      <c r="I39" s="24" t="n"/>
      <c r="J39" s="24" t="n"/>
      <c r="K39" s="24" t="n"/>
      <c r="L39" s="24" t="n"/>
      <c r="M39" s="24" t="n"/>
    </row>
    <row r="41">
      <c r="H41" s="25" t="inlineStr">
        <is>
          <t>●  Premises costs £45k adverse — estates survey commissioned (see Commentary).</t>
        </is>
      </c>
      <c r="I41" s="24" t="n"/>
      <c r="J41" s="24" t="n"/>
      <c r="K41" s="24" t="n"/>
      <c r="L41" s="24" t="n"/>
      <c r="M41" s="24" t="n"/>
    </row>
    <row r="42">
      <c r="H42" s="24" t="n"/>
      <c r="I42" s="24" t="n"/>
      <c r="J42" s="24" t="n"/>
      <c r="K42" s="24" t="n"/>
      <c r="L42" s="24" t="n"/>
      <c r="M42" s="24" t="n"/>
    </row>
    <row r="44">
      <c r="H44" s="25" t="inlineStr">
        <is>
          <t>●  Pupil numbers 94.3% of capacity — October census key risk to 2026/27 GAG.</t>
        </is>
      </c>
      <c r="I44" s="24" t="n"/>
      <c r="J44" s="24" t="n"/>
      <c r="K44" s="24" t="n"/>
      <c r="L44" s="24" t="n"/>
      <c r="M44" s="24" t="n"/>
    </row>
    <row r="45">
      <c r="H45" s="24" t="n"/>
      <c r="I45" s="24" t="n"/>
      <c r="J45" s="24" t="n"/>
      <c r="K45" s="24" t="n"/>
      <c r="L45" s="24" t="n"/>
      <c r="M45" s="24" t="n"/>
    </row>
    <row r="47">
      <c r="H47" s="23" t="inlineStr">
        <is>
          <t>●  Staff costs 78.7% of income — below the 80% sustainability ceiling.</t>
        </is>
      </c>
      <c r="I47" s="24" t="n"/>
      <c r="J47" s="24" t="n"/>
      <c r="K47" s="24" t="n"/>
      <c r="L47" s="24" t="n"/>
      <c r="M47" s="24" t="n"/>
    </row>
    <row r="48">
      <c r="H48" s="24" t="n"/>
      <c r="I48" s="24" t="n"/>
      <c r="J48" s="24" t="n"/>
      <c r="K48" s="24" t="n"/>
      <c r="L48" s="24" t="n"/>
      <c r="M48" s="24" t="n"/>
    </row>
    <row r="51">
      <c r="B51" s="26" t="inlineStr">
        <is>
          <t>Contents: Income &amp; Expenditure · Balance Sheet · Cash Flow · KPIs · Commentary · Monthly Data. Pack covers the items the Academy Trust Handbook requires boards to monitor (I&amp;E, variance to budget, cash flow and balance sheet). All figures illustrative.</t>
        </is>
      </c>
    </row>
  </sheetData>
  <mergeCells count="32">
    <mergeCell ref="B2:M2"/>
    <mergeCell ref="E10:G10"/>
    <mergeCell ref="E13:G13"/>
    <mergeCell ref="B8:D8"/>
    <mergeCell ref="B13:D13"/>
    <mergeCell ref="K6:M7"/>
    <mergeCell ref="B10:D10"/>
    <mergeCell ref="K8:M8"/>
    <mergeCell ref="H13:J13"/>
    <mergeCell ref="H35:M36"/>
    <mergeCell ref="H44:M45"/>
    <mergeCell ref="H38:M39"/>
    <mergeCell ref="H6:J7"/>
    <mergeCell ref="H41:M42"/>
    <mergeCell ref="B5:D5"/>
    <mergeCell ref="B11:D12"/>
    <mergeCell ref="H11:J12"/>
    <mergeCell ref="K10:M10"/>
    <mergeCell ref="B51:M51"/>
    <mergeCell ref="K13:M13"/>
    <mergeCell ref="H5:J5"/>
    <mergeCell ref="H8:J8"/>
    <mergeCell ref="K11:M12"/>
    <mergeCell ref="E6:G7"/>
    <mergeCell ref="H10:J10"/>
    <mergeCell ref="B6:D7"/>
    <mergeCell ref="B3:M3"/>
    <mergeCell ref="E5:G5"/>
    <mergeCell ref="K5:M5"/>
    <mergeCell ref="E11:G12"/>
    <mergeCell ref="E8:G8"/>
    <mergeCell ref="H47:M4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B2:P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6" customHeight="1"/>
    <row r="2" ht="30" customHeight="1">
      <c r="B2" s="1" t="inlineStr">
        <is>
          <t>Monthly Data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18" customHeight="1">
      <c r="B3" s="3" t="inlineStr">
        <is>
          <t>Working data that drives the Dashboard charts — enter monthly actuals here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5" ht="30" customHeight="1">
      <c r="B5" s="27" t="inlineStr">
        <is>
          <t>Month</t>
        </is>
      </c>
      <c r="C5" s="27" t="inlineStr">
        <is>
          <t>Income Actual £k</t>
        </is>
      </c>
      <c r="D5" s="27" t="inlineStr">
        <is>
          <t>Income Budget £k</t>
        </is>
      </c>
      <c r="E5" s="27" t="inlineStr">
        <is>
          <t>Expenditure Actual £k</t>
        </is>
      </c>
      <c r="F5" s="27" t="inlineStr">
        <is>
          <t>Expenditure Budget £k</t>
        </is>
      </c>
      <c r="G5" s="27" t="inlineStr">
        <is>
          <t>Cash Actual £k</t>
        </is>
      </c>
      <c r="H5" s="27" t="inlineStr">
        <is>
          <t>Cash Forecast £k</t>
        </is>
      </c>
      <c r="I5" s="27" t="inlineStr">
        <is>
          <t>Surplus Actual £k</t>
        </is>
      </c>
      <c r="J5" s="27" t="inlineStr">
        <is>
          <t>Surplus Budget £k</t>
        </is>
      </c>
    </row>
    <row r="6">
      <c r="B6" s="28" t="inlineStr">
        <is>
          <t>Sep</t>
        </is>
      </c>
      <c r="C6" s="29" t="n">
        <v>1380</v>
      </c>
      <c r="D6" s="29" t="n">
        <v>1350</v>
      </c>
      <c r="E6" s="29" t="n">
        <v>1290</v>
      </c>
      <c r="F6" s="29" t="n">
        <v>1300</v>
      </c>
      <c r="G6" s="29" t="n">
        <v>2350</v>
      </c>
      <c r="H6" s="29" t="n">
        <v>2350</v>
      </c>
      <c r="I6" s="30">
        <f>IF(C6="","",C6-E6)</f>
        <v/>
      </c>
      <c r="J6" s="30">
        <f>D6-F6</f>
        <v/>
      </c>
    </row>
    <row r="7">
      <c r="B7" s="31" t="inlineStr">
        <is>
          <t>Oct</t>
        </is>
      </c>
      <c r="C7" s="32" t="n">
        <v>1295</v>
      </c>
      <c r="D7" s="32" t="n">
        <v>1300</v>
      </c>
      <c r="E7" s="32" t="n">
        <v>1310</v>
      </c>
      <c r="F7" s="32" t="n">
        <v>1295</v>
      </c>
      <c r="G7" s="32" t="n">
        <v>2310</v>
      </c>
      <c r="H7" s="32" t="n">
        <v>2315</v>
      </c>
      <c r="I7" s="33">
        <f>IF(C7="","",C7-E7)</f>
        <v/>
      </c>
      <c r="J7" s="33">
        <f>D7-F7</f>
        <v/>
      </c>
    </row>
    <row r="8">
      <c r="B8" s="28" t="inlineStr">
        <is>
          <t>Nov</t>
        </is>
      </c>
      <c r="C8" s="29" t="n">
        <v>1310</v>
      </c>
      <c r="D8" s="29" t="n">
        <v>1300</v>
      </c>
      <c r="E8" s="29" t="n">
        <v>1285</v>
      </c>
      <c r="F8" s="29" t="n">
        <v>1290</v>
      </c>
      <c r="G8" s="29" t="n">
        <v>2330</v>
      </c>
      <c r="H8" s="29" t="n">
        <v>2325</v>
      </c>
      <c r="I8" s="30">
        <f>IF(C8="","",C8-E8)</f>
        <v/>
      </c>
      <c r="J8" s="30">
        <f>D8-F8</f>
        <v/>
      </c>
    </row>
    <row r="9">
      <c r="B9" s="31" t="inlineStr">
        <is>
          <t>Dec</t>
        </is>
      </c>
      <c r="C9" s="32" t="n">
        <v>1290</v>
      </c>
      <c r="D9" s="32" t="n">
        <v>1300</v>
      </c>
      <c r="E9" s="32" t="n">
        <v>1330</v>
      </c>
      <c r="F9" s="32" t="n">
        <v>1320</v>
      </c>
      <c r="G9" s="32" t="n">
        <v>2280</v>
      </c>
      <c r="H9" s="32" t="n">
        <v>2285</v>
      </c>
      <c r="I9" s="33">
        <f>IF(C9="","",C9-E9)</f>
        <v/>
      </c>
      <c r="J9" s="33">
        <f>D9-F9</f>
        <v/>
      </c>
    </row>
    <row r="10">
      <c r="B10" s="28" t="inlineStr">
        <is>
          <t>Jan</t>
        </is>
      </c>
      <c r="C10" s="29" t="n">
        <v>1335</v>
      </c>
      <c r="D10" s="29" t="n">
        <v>1320</v>
      </c>
      <c r="E10" s="29" t="n">
        <v>1295</v>
      </c>
      <c r="F10" s="29" t="n">
        <v>1300</v>
      </c>
      <c r="G10" s="29" t="n">
        <v>2335</v>
      </c>
      <c r="H10" s="29" t="n">
        <v>2330</v>
      </c>
      <c r="I10" s="30">
        <f>IF(C10="","",C10-E10)</f>
        <v/>
      </c>
      <c r="J10" s="30">
        <f>D10-F10</f>
        <v/>
      </c>
    </row>
    <row r="11">
      <c r="B11" s="31" t="inlineStr">
        <is>
          <t>Feb</t>
        </is>
      </c>
      <c r="C11" s="32" t="n">
        <v>1300</v>
      </c>
      <c r="D11" s="32" t="n">
        <v>1310</v>
      </c>
      <c r="E11" s="32" t="n">
        <v>1305</v>
      </c>
      <c r="F11" s="32" t="n">
        <v>1300</v>
      </c>
      <c r="G11" s="32" t="n">
        <v>2330</v>
      </c>
      <c r="H11" s="32" t="n">
        <v>2335</v>
      </c>
      <c r="I11" s="33">
        <f>IF(C11="","",C11-E11)</f>
        <v/>
      </c>
      <c r="J11" s="33">
        <f>D11-F11</f>
        <v/>
      </c>
    </row>
    <row r="12">
      <c r="B12" s="28" t="inlineStr">
        <is>
          <t>Mar</t>
        </is>
      </c>
      <c r="C12" s="29" t="n">
        <v>1345</v>
      </c>
      <c r="D12" s="29" t="n">
        <v>1330</v>
      </c>
      <c r="E12" s="29" t="n">
        <v>1290</v>
      </c>
      <c r="F12" s="29" t="n">
        <v>1295</v>
      </c>
      <c r="G12" s="29" t="n">
        <v>2390</v>
      </c>
      <c r="H12" s="29" t="n">
        <v>2380</v>
      </c>
      <c r="I12" s="30">
        <f>IF(C12="","",C12-E12)</f>
        <v/>
      </c>
      <c r="J12" s="30">
        <f>D12-F12</f>
        <v/>
      </c>
    </row>
    <row r="13">
      <c r="B13" s="31" t="inlineStr">
        <is>
          <t>Apr</t>
        </is>
      </c>
      <c r="C13" s="32" t="n">
        <v>1310</v>
      </c>
      <c r="D13" s="32" t="n">
        <v>1320</v>
      </c>
      <c r="E13" s="32" t="n">
        <v>1315</v>
      </c>
      <c r="F13" s="32" t="n">
        <v>1310</v>
      </c>
      <c r="G13" s="32" t="n">
        <v>2385</v>
      </c>
      <c r="H13" s="32" t="n">
        <v>2390</v>
      </c>
      <c r="I13" s="33">
        <f>IF(C13="","",C13-E13)</f>
        <v/>
      </c>
      <c r="J13" s="33">
        <f>D13-F13</f>
        <v/>
      </c>
    </row>
    <row r="14">
      <c r="B14" s="28" t="inlineStr">
        <is>
          <t>May</t>
        </is>
      </c>
      <c r="C14" s="29" t="n">
        <v>1352</v>
      </c>
      <c r="D14" s="29" t="n">
        <v>1330</v>
      </c>
      <c r="E14" s="29" t="n">
        <v>1298</v>
      </c>
      <c r="F14" s="29" t="n">
        <v>1305</v>
      </c>
      <c r="G14" s="29" t="n">
        <v>2440</v>
      </c>
      <c r="H14" s="29" t="n">
        <v>2430</v>
      </c>
      <c r="I14" s="30">
        <f>IF(C14="","",C14-E14)</f>
        <v/>
      </c>
      <c r="J14" s="30">
        <f>D14-F14</f>
        <v/>
      </c>
    </row>
    <row r="15">
      <c r="B15" s="31" t="inlineStr">
        <is>
          <t>Jun</t>
        </is>
      </c>
      <c r="C15" s="32" t="n"/>
      <c r="D15" s="32" t="n">
        <v>1330</v>
      </c>
      <c r="E15" s="32" t="n"/>
      <c r="F15" s="32" t="n">
        <v>1305</v>
      </c>
      <c r="G15" s="32" t="n"/>
      <c r="H15" s="32" t="n">
        <v>2455</v>
      </c>
      <c r="I15" s="33">
        <f>IF(C15="","",C15-E15)</f>
        <v/>
      </c>
      <c r="J15" s="33">
        <f>D15-F15</f>
        <v/>
      </c>
    </row>
    <row r="16">
      <c r="B16" s="28" t="inlineStr">
        <is>
          <t>Jul</t>
        </is>
      </c>
      <c r="C16" s="29" t="n"/>
      <c r="D16" s="29" t="n">
        <v>1340</v>
      </c>
      <c r="E16" s="29" t="n"/>
      <c r="F16" s="29" t="n">
        <v>1320</v>
      </c>
      <c r="G16" s="29" t="n"/>
      <c r="H16" s="29" t="n">
        <v>2470</v>
      </c>
      <c r="I16" s="30">
        <f>IF(C16="","",C16-E16)</f>
        <v/>
      </c>
      <c r="J16" s="30">
        <f>D16-F16</f>
        <v/>
      </c>
    </row>
    <row r="17">
      <c r="B17" s="31" t="inlineStr">
        <is>
          <t>Aug</t>
        </is>
      </c>
      <c r="C17" s="32" t="n"/>
      <c r="D17" s="32" t="n">
        <v>1370</v>
      </c>
      <c r="E17" s="32" t="n"/>
      <c r="F17" s="32" t="n">
        <v>1360</v>
      </c>
      <c r="G17" s="32" t="n"/>
      <c r="H17" s="32" t="n">
        <v>2480</v>
      </c>
      <c r="I17" s="33">
        <f>IF(C17="","",C17-E17)</f>
        <v/>
      </c>
      <c r="J17" s="33">
        <f>D17-F17</f>
        <v/>
      </c>
    </row>
  </sheetData>
  <mergeCells count="2">
    <mergeCell ref="B3:P3"/>
    <mergeCell ref="B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B2:I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6" customHeight="1"/>
    <row r="2" ht="30" customHeight="1">
      <c r="B2" s="1" t="inlineStr">
        <is>
          <t>Income &amp; Expenditure</t>
        </is>
      </c>
      <c r="C2" s="2" t="n"/>
      <c r="D2" s="2" t="n"/>
      <c r="E2" s="2" t="n"/>
      <c r="F2" s="2" t="n"/>
      <c r="G2" s="2" t="n"/>
      <c r="H2" s="2" t="n"/>
      <c r="I2" s="2" t="n"/>
    </row>
    <row r="3" ht="18" customHeight="1">
      <c r="B3" s="3" t="inlineStr">
        <is>
          <t>Year to date Period 9 (May 2026) and full-year forecast  |  Academic year 2025/26  |  £</t>
        </is>
      </c>
      <c r="C3" s="2" t="n"/>
      <c r="D3" s="2" t="n"/>
      <c r="E3" s="2" t="n"/>
      <c r="F3" s="2" t="n"/>
      <c r="G3" s="2" t="n"/>
      <c r="H3" s="2" t="n"/>
      <c r="I3" s="2" t="n"/>
    </row>
    <row r="5" ht="26" customHeight="1">
      <c r="B5" s="27" t="inlineStr"/>
      <c r="C5" s="27" t="inlineStr">
        <is>
          <t>YTD Actual</t>
        </is>
      </c>
      <c r="D5" s="27" t="inlineStr">
        <is>
          <t>YTD Budget</t>
        </is>
      </c>
      <c r="E5" s="27" t="inlineStr">
        <is>
          <t>YTD Variance</t>
        </is>
      </c>
      <c r="F5" s="27" t="inlineStr">
        <is>
          <t>Var %</t>
        </is>
      </c>
      <c r="G5" s="27" t="inlineStr">
        <is>
          <t>FY Budget</t>
        </is>
      </c>
      <c r="H5" s="27" t="inlineStr">
        <is>
          <t>FY Forecast</t>
        </is>
      </c>
      <c r="I5" s="27" t="inlineStr">
        <is>
          <t>FY Variance</t>
        </is>
      </c>
    </row>
    <row r="7">
      <c r="B7" s="34" t="inlineStr">
        <is>
          <t>INCOME</t>
        </is>
      </c>
      <c r="C7" s="35" t="n"/>
      <c r="D7" s="35" t="n"/>
      <c r="E7" s="35" t="n"/>
      <c r="F7" s="35" t="n"/>
      <c r="G7" s="35" t="n"/>
      <c r="H7" s="35" t="n"/>
      <c r="I7" s="35" t="n"/>
    </row>
    <row r="8">
      <c r="B8" s="28" t="inlineStr">
        <is>
          <t>General Annual Grant (GAG)</t>
        </is>
      </c>
      <c r="C8" s="30" t="n">
        <v>10125000</v>
      </c>
      <c r="D8" s="30" t="n">
        <v>10050000</v>
      </c>
      <c r="E8" s="30">
        <f>C8-D8</f>
        <v/>
      </c>
      <c r="F8" s="36">
        <f>IF(D8=0,0,(C8-D8)/D8)</f>
        <v/>
      </c>
      <c r="G8" s="30" t="n">
        <v>13400000</v>
      </c>
      <c r="H8" s="30" t="n">
        <v>13480000</v>
      </c>
      <c r="I8" s="30">
        <f>H8-G8</f>
        <v/>
      </c>
    </row>
    <row r="9">
      <c r="B9" s="31" t="inlineStr">
        <is>
          <t>Other DfE / ESFA grants</t>
        </is>
      </c>
      <c r="C9" s="33" t="n">
        <v>610000</v>
      </c>
      <c r="D9" s="33" t="n">
        <v>585000</v>
      </c>
      <c r="E9" s="33">
        <f>C9-D9</f>
        <v/>
      </c>
      <c r="F9" s="37">
        <f>IF(D9=0,0,(C9-D9)/D9)</f>
        <v/>
      </c>
      <c r="G9" s="33" t="n">
        <v>780000</v>
      </c>
      <c r="H9" s="33" t="n">
        <v>805000</v>
      </c>
      <c r="I9" s="33">
        <f>H9-G9</f>
        <v/>
      </c>
    </row>
    <row r="10">
      <c r="B10" s="28" t="inlineStr">
        <is>
          <t>Pupil premium</t>
        </is>
      </c>
      <c r="C10" s="30" t="n">
        <v>565000</v>
      </c>
      <c r="D10" s="30" t="n">
        <v>560000</v>
      </c>
      <c r="E10" s="30">
        <f>C10-D10</f>
        <v/>
      </c>
      <c r="F10" s="36">
        <f>IF(D10=0,0,(C10-D10)/D10)</f>
        <v/>
      </c>
      <c r="G10" s="30" t="n">
        <v>745000</v>
      </c>
      <c r="H10" s="30" t="n">
        <v>748000</v>
      </c>
      <c r="I10" s="30">
        <f>H10-G10</f>
        <v/>
      </c>
    </row>
    <row r="11">
      <c r="B11" s="31" t="inlineStr">
        <is>
          <t>Local authority grants (inc. SEN)</t>
        </is>
      </c>
      <c r="C11" s="33" t="n">
        <v>402000</v>
      </c>
      <c r="D11" s="33" t="n">
        <v>430000</v>
      </c>
      <c r="E11" s="33">
        <f>C11-D11</f>
        <v/>
      </c>
      <c r="F11" s="37">
        <f>IF(D11=0,0,(C11-D11)/D11)</f>
        <v/>
      </c>
      <c r="G11" s="33" t="n">
        <v>573000</v>
      </c>
      <c r="H11" s="33" t="n">
        <v>545000</v>
      </c>
      <c r="I11" s="33">
        <f>H11-G11</f>
        <v/>
      </c>
    </row>
    <row r="12">
      <c r="B12" s="28" t="inlineStr">
        <is>
          <t>Catering &amp; lettings income</t>
        </is>
      </c>
      <c r="C12" s="30" t="n">
        <v>158000</v>
      </c>
      <c r="D12" s="30" t="n">
        <v>170000</v>
      </c>
      <c r="E12" s="30">
        <f>C12-D12</f>
        <v/>
      </c>
      <c r="F12" s="36">
        <f>IF(D12=0,0,(C12-D12)/D12)</f>
        <v/>
      </c>
      <c r="G12" s="30" t="n">
        <v>227000</v>
      </c>
      <c r="H12" s="30" t="n">
        <v>212000</v>
      </c>
      <c r="I12" s="30">
        <f>H12-G12</f>
        <v/>
      </c>
    </row>
    <row r="13">
      <c r="B13" s="31" t="inlineStr">
        <is>
          <t>Donations &amp; fundraising</t>
        </is>
      </c>
      <c r="C13" s="33" t="n">
        <v>57000</v>
      </c>
      <c r="D13" s="33" t="n">
        <v>45000</v>
      </c>
      <c r="E13" s="33">
        <f>C13-D13</f>
        <v/>
      </c>
      <c r="F13" s="37">
        <f>IF(D13=0,0,(C13-D13)/D13)</f>
        <v/>
      </c>
      <c r="G13" s="33" t="n">
        <v>60000</v>
      </c>
      <c r="H13" s="33" t="n">
        <v>71000</v>
      </c>
      <c r="I13" s="33">
        <f>H13-G13</f>
        <v/>
      </c>
    </row>
    <row r="14">
      <c r="B14" s="38" t="inlineStr">
        <is>
          <t>Total income</t>
        </is>
      </c>
      <c r="C14" s="39">
        <f>SUM(C8:C13)</f>
        <v/>
      </c>
      <c r="D14" s="39">
        <f>SUM(D8:D13)</f>
        <v/>
      </c>
      <c r="E14" s="39">
        <f>C14-D14</f>
        <v/>
      </c>
      <c r="F14" s="40">
        <f>IF(D14=0,0,(C14-D14)/D14)</f>
        <v/>
      </c>
      <c r="G14" s="39">
        <f>SUM(G8:G13)</f>
        <v/>
      </c>
      <c r="H14" s="39">
        <f>SUM(H8:H13)</f>
        <v/>
      </c>
      <c r="I14" s="39">
        <f>H14-G14</f>
        <v/>
      </c>
    </row>
    <row r="16">
      <c r="B16" s="34" t="inlineStr">
        <is>
          <t>EXPENDITURE</t>
        </is>
      </c>
      <c r="C16" s="35" t="n"/>
      <c r="D16" s="35" t="n"/>
      <c r="E16" s="35" t="n"/>
      <c r="F16" s="35" t="n"/>
      <c r="G16" s="35" t="n"/>
      <c r="H16" s="35" t="n"/>
      <c r="I16" s="35" t="n"/>
    </row>
    <row r="17">
      <c r="B17" s="28" t="inlineStr">
        <is>
          <t>Teaching staff</t>
        </is>
      </c>
      <c r="C17" s="30" t="n">
        <v>5430000</v>
      </c>
      <c r="D17" s="30" t="n">
        <v>5380000</v>
      </c>
      <c r="E17" s="30">
        <f>C17-D17</f>
        <v/>
      </c>
      <c r="F17" s="36">
        <f>IF(D17=0,0,(C17-D17)/D17)</f>
        <v/>
      </c>
      <c r="G17" s="30" t="n">
        <v>7173000</v>
      </c>
      <c r="H17" s="30" t="n">
        <v>7240000</v>
      </c>
      <c r="I17" s="30">
        <f>H17-G17</f>
        <v/>
      </c>
    </row>
    <row r="18">
      <c r="B18" s="31" t="inlineStr">
        <is>
          <t>Education support staff</t>
        </is>
      </c>
      <c r="C18" s="33" t="n">
        <v>1488000</v>
      </c>
      <c r="D18" s="33" t="n">
        <v>1520000</v>
      </c>
      <c r="E18" s="33">
        <f>C18-D18</f>
        <v/>
      </c>
      <c r="F18" s="37">
        <f>IF(D18=0,0,(C18-D18)/D18)</f>
        <v/>
      </c>
      <c r="G18" s="33" t="n">
        <v>2027000</v>
      </c>
      <c r="H18" s="33" t="n">
        <v>1985000</v>
      </c>
      <c r="I18" s="33">
        <f>H18-G18</f>
        <v/>
      </c>
    </row>
    <row r="19">
      <c r="B19" s="28" t="inlineStr">
        <is>
          <t>Admin &amp; leadership staff</t>
        </is>
      </c>
      <c r="C19" s="30" t="n">
        <v>1356000</v>
      </c>
      <c r="D19" s="30" t="n">
        <v>1340000</v>
      </c>
      <c r="E19" s="30">
        <f>C19-D19</f>
        <v/>
      </c>
      <c r="F19" s="36">
        <f>IF(D19=0,0,(C19-D19)/D19)</f>
        <v/>
      </c>
      <c r="G19" s="30" t="n">
        <v>1787000</v>
      </c>
      <c r="H19" s="30" t="n">
        <v>1802000</v>
      </c>
      <c r="I19" s="30">
        <f>H19-G19</f>
        <v/>
      </c>
    </row>
    <row r="20">
      <c r="B20" s="31" t="inlineStr">
        <is>
          <t>Indirect staff costs (supply, dev.)</t>
        </is>
      </c>
      <c r="C20" s="33" t="n">
        <v>302000</v>
      </c>
      <c r="D20" s="33" t="n">
        <v>340000</v>
      </c>
      <c r="E20" s="33">
        <f>C20-D20</f>
        <v/>
      </c>
      <c r="F20" s="37">
        <f>IF(D20=0,0,(C20-D20)/D20)</f>
        <v/>
      </c>
      <c r="G20" s="33" t="n">
        <v>453000</v>
      </c>
      <c r="H20" s="33" t="n">
        <v>420000</v>
      </c>
      <c r="I20" s="33">
        <f>H20-G20</f>
        <v/>
      </c>
    </row>
    <row r="21">
      <c r="B21" s="28" t="inlineStr">
        <is>
          <t>Premises &amp; estates (inc. PFI/maint.)</t>
        </is>
      </c>
      <c r="C21" s="30" t="n">
        <v>985000</v>
      </c>
      <c r="D21" s="30" t="n">
        <v>940000</v>
      </c>
      <c r="E21" s="30">
        <f>C21-D21</f>
        <v/>
      </c>
      <c r="F21" s="36">
        <f>IF(D21=0,0,(C21-D21)/D21)</f>
        <v/>
      </c>
      <c r="G21" s="30" t="n">
        <v>1253000</v>
      </c>
      <c r="H21" s="30" t="n">
        <v>1310000</v>
      </c>
      <c r="I21" s="30">
        <f>H21-G21</f>
        <v/>
      </c>
    </row>
    <row r="22">
      <c r="B22" s="31" t="inlineStr">
        <is>
          <t>Educational supplies &amp; ICT</t>
        </is>
      </c>
      <c r="C22" s="33" t="n">
        <v>738000</v>
      </c>
      <c r="D22" s="33" t="n">
        <v>760000</v>
      </c>
      <c r="E22" s="33">
        <f>C22-D22</f>
        <v/>
      </c>
      <c r="F22" s="37">
        <f>IF(D22=0,0,(C22-D22)/D22)</f>
        <v/>
      </c>
      <c r="G22" s="33" t="n">
        <v>1013000</v>
      </c>
      <c r="H22" s="33" t="n">
        <v>995000</v>
      </c>
      <c r="I22" s="33">
        <f>H22-G22</f>
        <v/>
      </c>
    </row>
    <row r="23">
      <c r="B23" s="28" t="inlineStr">
        <is>
          <t>Catering supplies</t>
        </is>
      </c>
      <c r="C23" s="30" t="n">
        <v>331000</v>
      </c>
      <c r="D23" s="30" t="n">
        <v>325000</v>
      </c>
      <c r="E23" s="30">
        <f>C23-D23</f>
        <v/>
      </c>
      <c r="F23" s="36">
        <f>IF(D23=0,0,(C23-D23)/D23)</f>
        <v/>
      </c>
      <c r="G23" s="30" t="n">
        <v>433000</v>
      </c>
      <c r="H23" s="30" t="n">
        <v>441000</v>
      </c>
      <c r="I23" s="30">
        <f>H23-G23</f>
        <v/>
      </c>
    </row>
    <row r="24">
      <c r="B24" s="31" t="inlineStr">
        <is>
          <t>Other support costs &amp; professional</t>
        </is>
      </c>
      <c r="C24" s="33" t="n">
        <v>788000</v>
      </c>
      <c r="D24" s="33" t="n">
        <v>810000</v>
      </c>
      <c r="E24" s="33">
        <f>C24-D24</f>
        <v/>
      </c>
      <c r="F24" s="37">
        <f>IF(D24=0,0,(C24-D24)/D24)</f>
        <v/>
      </c>
      <c r="G24" s="33" t="n">
        <v>1080000</v>
      </c>
      <c r="H24" s="33" t="n">
        <v>1056000</v>
      </c>
      <c r="I24" s="33">
        <f>H24-G24</f>
        <v/>
      </c>
    </row>
    <row r="25">
      <c r="B25" s="38" t="inlineStr">
        <is>
          <t>Total expenditure</t>
        </is>
      </c>
      <c r="C25" s="39">
        <f>SUM(C17:C24)</f>
        <v/>
      </c>
      <c r="D25" s="39">
        <f>SUM(D17:D24)</f>
        <v/>
      </c>
      <c r="E25" s="39">
        <f>C25-D25</f>
        <v/>
      </c>
      <c r="F25" s="40">
        <f>IF(D25=0,0,(C25-D25)/D25)</f>
        <v/>
      </c>
      <c r="G25" s="39">
        <f>SUM(G17:G24)</f>
        <v/>
      </c>
      <c r="H25" s="39">
        <f>SUM(H17:H24)</f>
        <v/>
      </c>
      <c r="I25" s="39">
        <f>H25-G25</f>
        <v/>
      </c>
    </row>
    <row r="27" ht="22" customHeight="1">
      <c r="B27" s="41" t="inlineStr">
        <is>
          <t>In-year surplus / (deficit)</t>
        </is>
      </c>
      <c r="C27" s="42">
        <f>C14-C25</f>
        <v/>
      </c>
      <c r="D27" s="42">
        <f>D14-D25</f>
        <v/>
      </c>
      <c r="E27" s="42">
        <f>C27-D27</f>
        <v/>
      </c>
      <c r="F27" s="43">
        <f>IF(D27=0,0,(C27-D27)/MAX(1,ABS(D27)))</f>
        <v/>
      </c>
      <c r="G27" s="42">
        <f>G14-G25</f>
        <v/>
      </c>
      <c r="H27" s="42">
        <f>H14-H25</f>
        <v/>
      </c>
      <c r="I27" s="42">
        <f>H27-G27</f>
        <v/>
      </c>
    </row>
    <row r="29">
      <c r="B29" s="26" t="inlineStr">
        <is>
          <t>Variance basis: income — favourable = actual above budget; expenditure — favourable = actual below budget. Variances over ±5% or ±£50k should be explained in the Commentary tab (DfE good practice).</t>
        </is>
      </c>
    </row>
  </sheetData>
  <mergeCells count="2">
    <mergeCell ref="B3:I3"/>
    <mergeCell ref="B2:I2"/>
  </mergeCells>
  <conditionalFormatting sqref="F8:F27">
    <cfRule type="cellIs" priority="1" operator="lessThan" dxfId="0">
      <formula>-0.05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 ht="6" customHeight="1"/>
    <row r="2" ht="30" customHeight="1">
      <c r="B2" s="1" t="inlineStr">
        <is>
          <t>Balance Sheet</t>
        </is>
      </c>
      <c r="C2" s="2" t="n"/>
      <c r="D2" s="2" t="n"/>
      <c r="E2" s="2" t="n"/>
      <c r="F2" s="2" t="n"/>
    </row>
    <row r="3" ht="18" customHeight="1">
      <c r="B3" s="3" t="inlineStr">
        <is>
          <t>As at 31 May 2026 (Period 9) with prior year-end comparative  |  £</t>
        </is>
      </c>
      <c r="C3" s="2" t="n"/>
      <c r="D3" s="2" t="n"/>
      <c r="E3" s="2" t="n"/>
      <c r="F3" s="2" t="n"/>
    </row>
    <row r="5">
      <c r="B5" s="44" t="inlineStr"/>
      <c r="C5" s="44" t="inlineStr">
        <is>
          <t>31 May 2026</t>
        </is>
      </c>
      <c r="D5" s="44" t="inlineStr">
        <is>
          <t>31 Aug 2025</t>
        </is>
      </c>
      <c r="E5" s="44" t="inlineStr">
        <is>
          <t>Movement</t>
        </is>
      </c>
    </row>
    <row r="6">
      <c r="B6" s="45" t="inlineStr">
        <is>
          <t>FIXED ASSETS</t>
        </is>
      </c>
      <c r="C6" s="35" t="n"/>
      <c r="D6" s="35" t="n"/>
      <c r="E6" s="35" t="n"/>
    </row>
    <row r="7">
      <c r="B7" s="28" t="inlineStr">
        <is>
          <t>Tangible fixed assets (land &amp; buildings)</t>
        </is>
      </c>
      <c r="C7" s="30" t="n">
        <v>28450000</v>
      </c>
      <c r="D7" s="30" t="n">
        <v>28930000</v>
      </c>
      <c r="E7" s="30">
        <f>C7-D7</f>
        <v/>
      </c>
    </row>
    <row r="8">
      <c r="B8" s="31" t="inlineStr">
        <is>
          <t>Other tangible fixed assets (FF&amp;E, ICT)</t>
        </is>
      </c>
      <c r="C8" s="33" t="n">
        <v>842000</v>
      </c>
      <c r="D8" s="33" t="n">
        <v>760000</v>
      </c>
      <c r="E8" s="33">
        <f>C8-D8</f>
        <v/>
      </c>
    </row>
    <row r="9">
      <c r="B9" s="38" t="inlineStr">
        <is>
          <t>Total fixed assets</t>
        </is>
      </c>
      <c r="C9" s="39">
        <f>SUM(C7:C8)</f>
        <v/>
      </c>
      <c r="D9" s="39">
        <f>SUM(D7:D8)</f>
        <v/>
      </c>
      <c r="E9" s="39">
        <f>C9-D9</f>
        <v/>
      </c>
    </row>
    <row r="10">
      <c r="B10" s="45" t="inlineStr">
        <is>
          <t>CURRENT ASSETS</t>
        </is>
      </c>
      <c r="C10" s="35" t="n"/>
      <c r="D10" s="35" t="n"/>
      <c r="E10" s="35" t="n"/>
    </row>
    <row r="11">
      <c r="B11" s="28" t="inlineStr">
        <is>
          <t>Debtors &amp; prepayments</t>
        </is>
      </c>
      <c r="C11" s="30" t="n">
        <v>412000</v>
      </c>
      <c r="D11" s="30" t="n">
        <v>385000</v>
      </c>
      <c r="E11" s="30">
        <f>C11-D11</f>
        <v/>
      </c>
    </row>
    <row r="12">
      <c r="B12" s="31" t="inlineStr">
        <is>
          <t>Cash at bank and in hand</t>
        </is>
      </c>
      <c r="C12" s="33" t="n">
        <v>2440000</v>
      </c>
      <c r="D12" s="33" t="n">
        <v>2350000</v>
      </c>
      <c r="E12" s="33">
        <f>C12-D12</f>
        <v/>
      </c>
    </row>
    <row r="13">
      <c r="B13" s="38" t="inlineStr">
        <is>
          <t>Total current assets</t>
        </is>
      </c>
      <c r="C13" s="39">
        <f>SUM(C11:C12)</f>
        <v/>
      </c>
      <c r="D13" s="39">
        <f>SUM(D11:D12)</f>
        <v/>
      </c>
      <c r="E13" s="39">
        <f>C13-D13</f>
        <v/>
      </c>
    </row>
    <row r="14">
      <c r="B14" s="45" t="inlineStr">
        <is>
          <t>LIABILITIES</t>
        </is>
      </c>
      <c r="C14" s="35" t="n"/>
      <c r="D14" s="35" t="n"/>
      <c r="E14" s="35" t="n"/>
    </row>
    <row r="15">
      <c r="B15" s="28" t="inlineStr">
        <is>
          <t>Creditors: amounts due within one year</t>
        </is>
      </c>
      <c r="C15" s="30" t="n">
        <v>-618000</v>
      </c>
      <c r="D15" s="30" t="n">
        <v>-572000</v>
      </c>
      <c r="E15" s="30">
        <f>C15-D15</f>
        <v/>
      </c>
    </row>
    <row r="16">
      <c r="B16" s="31" t="inlineStr">
        <is>
          <t>Creditors: amounts due after one year</t>
        </is>
      </c>
      <c r="C16" s="33" t="n">
        <v>-95000</v>
      </c>
      <c r="D16" s="33" t="n">
        <v>-120000</v>
      </c>
      <c r="E16" s="33">
        <f>C16-D16</f>
        <v/>
      </c>
    </row>
    <row r="17">
      <c r="B17" s="28" t="inlineStr">
        <is>
          <t>Pension scheme liability (LGPS)</t>
        </is>
      </c>
      <c r="C17" s="30" t="n">
        <v>-3120000</v>
      </c>
      <c r="D17" s="30" t="n">
        <v>-3450000</v>
      </c>
      <c r="E17" s="30">
        <f>C17-D17</f>
        <v/>
      </c>
    </row>
    <row r="18">
      <c r="B18" s="38" t="inlineStr">
        <is>
          <t>Total liabilities</t>
        </is>
      </c>
      <c r="C18" s="39">
        <f>SUM(C15:C17)</f>
        <v/>
      </c>
      <c r="D18" s="39">
        <f>SUM(D15:D17)</f>
        <v/>
      </c>
      <c r="E18" s="39">
        <f>C18-D18</f>
        <v/>
      </c>
    </row>
    <row r="19">
      <c r="B19" s="41" t="inlineStr">
        <is>
          <t>NET ASSETS</t>
        </is>
      </c>
      <c r="C19" s="42">
        <f>C9+C13+C18</f>
        <v/>
      </c>
      <c r="D19" s="42">
        <f>D9+D13+D18</f>
        <v/>
      </c>
      <c r="E19" s="42">
        <f>C19-D19</f>
        <v/>
      </c>
    </row>
    <row r="20">
      <c r="B20" s="45" t="inlineStr">
        <is>
          <t>FUNDS / RESERVES</t>
        </is>
      </c>
      <c r="C20" s="35" t="n"/>
      <c r="D20" s="35" t="n"/>
      <c r="E20" s="35" t="n"/>
    </row>
    <row r="21">
      <c r="B21" s="28" t="inlineStr">
        <is>
          <t>Restricted fixed asset fund</t>
        </is>
      </c>
      <c r="C21" s="30" t="n">
        <v>29292000</v>
      </c>
      <c r="D21" s="30" t="n">
        <v>29690000</v>
      </c>
      <c r="E21" s="30">
        <f>C21-D21</f>
        <v/>
      </c>
    </row>
    <row r="22">
      <c r="B22" s="31" t="inlineStr">
        <is>
          <t>Restricted general fund (GAG)</t>
        </is>
      </c>
      <c r="C22" s="33" t="n">
        <v>738000</v>
      </c>
      <c r="D22" s="33" t="n">
        <v>540000</v>
      </c>
      <c r="E22" s="33">
        <f>C22-D22</f>
        <v/>
      </c>
    </row>
    <row r="23">
      <c r="B23" s="28" t="inlineStr">
        <is>
          <t>Restricted pension reserve</t>
        </is>
      </c>
      <c r="C23" s="30" t="n">
        <v>3120000</v>
      </c>
      <c r="D23" s="30" t="n">
        <v>3450000</v>
      </c>
      <c r="E23" s="30">
        <f>C23-D23</f>
        <v/>
      </c>
    </row>
    <row r="24">
      <c r="B24" s="31" t="inlineStr">
        <is>
          <t>Unrestricted general fund</t>
        </is>
      </c>
      <c r="C24" s="33" t="n">
        <v>1401000</v>
      </c>
      <c r="D24" s="33" t="n">
        <v>1503000</v>
      </c>
      <c r="E24" s="33">
        <f>C24-D24</f>
        <v/>
      </c>
    </row>
    <row r="25">
      <c r="B25" s="41" t="inlineStr">
        <is>
          <t>TOTAL FUNDS</t>
        </is>
      </c>
      <c r="C25" s="42">
        <f>SUM(C21:C24)</f>
        <v/>
      </c>
      <c r="D25" s="42">
        <f>SUM(D21:D24)</f>
        <v/>
      </c>
      <c r="E25" s="42">
        <f>C25-D25</f>
        <v/>
      </c>
    </row>
  </sheetData>
  <mergeCells count="2">
    <mergeCell ref="B2:F2"/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9CA6"/>
    <outlinePr summaryBelow="1" summaryRight="1"/>
    <pageSetUpPr/>
  </sheetPr>
  <dimension ref="B2:O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6" customHeight="1"/>
    <row r="2" ht="30" customHeight="1">
      <c r="B2" s="1" t="inlineStr">
        <is>
          <t>Cash Flow Forecast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8" customHeight="1">
      <c r="B3" s="3" t="inlineStr">
        <is>
          <t>12-month profile, academic year 2025/26 — actuals to Period 9, forecast thereafter  |  £k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5">
      <c r="B5" s="28" t="inlineStr"/>
      <c r="C5" s="46" t="inlineStr">
        <is>
          <t>Sep</t>
        </is>
      </c>
      <c r="D5" s="46" t="inlineStr">
        <is>
          <t>Oct</t>
        </is>
      </c>
      <c r="E5" s="46" t="inlineStr">
        <is>
          <t>Nov</t>
        </is>
      </c>
      <c r="F5" s="46" t="inlineStr">
        <is>
          <t>Dec</t>
        </is>
      </c>
      <c r="G5" s="46" t="inlineStr">
        <is>
          <t>Jan</t>
        </is>
      </c>
      <c r="H5" s="46" t="inlineStr">
        <is>
          <t>Feb</t>
        </is>
      </c>
      <c r="I5" s="46" t="inlineStr">
        <is>
          <t>Mar</t>
        </is>
      </c>
      <c r="J5" s="46" t="inlineStr">
        <is>
          <t>Apr</t>
        </is>
      </c>
      <c r="K5" s="46" t="inlineStr">
        <is>
          <t>May</t>
        </is>
      </c>
      <c r="L5" s="44" t="inlineStr">
        <is>
          <t>Jun *</t>
        </is>
      </c>
      <c r="M5" s="44" t="inlineStr">
        <is>
          <t>Jul *</t>
        </is>
      </c>
      <c r="N5" s="44" t="inlineStr">
        <is>
          <t>Aug *</t>
        </is>
      </c>
      <c r="O5" s="47" t="inlineStr">
        <is>
          <t>Total</t>
        </is>
      </c>
    </row>
    <row r="6">
      <c r="B6" s="45" t="inlineStr">
        <is>
          <t>Receipts</t>
        </is>
      </c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</row>
    <row r="7">
      <c r="B7" s="28" t="inlineStr">
        <is>
          <t xml:space="preserve">  GAG &amp; ESFA grant receipts</t>
        </is>
      </c>
      <c r="C7" s="29" t="n">
        <v>1180</v>
      </c>
      <c r="D7" s="29" t="n">
        <v>1125</v>
      </c>
      <c r="E7" s="29" t="n">
        <v>1125</v>
      </c>
      <c r="F7" s="29" t="n">
        <v>1125</v>
      </c>
      <c r="G7" s="29" t="n">
        <v>1160</v>
      </c>
      <c r="H7" s="29" t="n">
        <v>1130</v>
      </c>
      <c r="I7" s="29" t="n">
        <v>1165</v>
      </c>
      <c r="J7" s="29" t="n">
        <v>1140</v>
      </c>
      <c r="K7" s="29" t="n">
        <v>1170</v>
      </c>
      <c r="L7" s="29" t="n">
        <v>1155</v>
      </c>
      <c r="M7" s="29" t="n">
        <v>1165</v>
      </c>
      <c r="N7" s="29" t="n">
        <v>1190</v>
      </c>
      <c r="O7" s="48">
        <f>SUM(C7:N7)</f>
        <v/>
      </c>
    </row>
    <row r="8">
      <c r="B8" s="28" t="inlineStr">
        <is>
          <t xml:space="preserve">  Other grants &amp; LA income</t>
        </is>
      </c>
      <c r="C8" s="29" t="n">
        <v>115</v>
      </c>
      <c r="D8" s="29" t="n">
        <v>98</v>
      </c>
      <c r="E8" s="29" t="n">
        <v>102</v>
      </c>
      <c r="F8" s="29" t="n">
        <v>95</v>
      </c>
      <c r="G8" s="29" t="n">
        <v>104</v>
      </c>
      <c r="H8" s="29" t="n">
        <v>99</v>
      </c>
      <c r="I8" s="29" t="n">
        <v>106</v>
      </c>
      <c r="J8" s="29" t="n">
        <v>100</v>
      </c>
      <c r="K8" s="29" t="n">
        <v>108</v>
      </c>
      <c r="L8" s="29" t="n">
        <v>102</v>
      </c>
      <c r="M8" s="29" t="n">
        <v>101</v>
      </c>
      <c r="N8" s="29" t="n">
        <v>105</v>
      </c>
      <c r="O8" s="48">
        <f>SUM(C8:N8)</f>
        <v/>
      </c>
    </row>
    <row r="9">
      <c r="B9" s="28" t="inlineStr">
        <is>
          <t xml:space="preserve">  Other income (catering etc.)</t>
        </is>
      </c>
      <c r="C9" s="29" t="n">
        <v>85</v>
      </c>
      <c r="D9" s="29" t="n">
        <v>72</v>
      </c>
      <c r="E9" s="29" t="n">
        <v>83</v>
      </c>
      <c r="F9" s="29" t="n">
        <v>70</v>
      </c>
      <c r="G9" s="29" t="n">
        <v>71</v>
      </c>
      <c r="H9" s="29" t="n">
        <v>71</v>
      </c>
      <c r="I9" s="29" t="n">
        <v>74</v>
      </c>
      <c r="J9" s="29" t="n">
        <v>70</v>
      </c>
      <c r="K9" s="29" t="n">
        <v>74</v>
      </c>
      <c r="L9" s="29" t="n">
        <v>73</v>
      </c>
      <c r="M9" s="29" t="n">
        <v>74</v>
      </c>
      <c r="N9" s="29" t="n">
        <v>75</v>
      </c>
      <c r="O9" s="48">
        <f>SUM(C9:N9)</f>
        <v/>
      </c>
    </row>
    <row r="10">
      <c r="B10" s="38" t="inlineStr">
        <is>
          <t>Total receipts</t>
        </is>
      </c>
      <c r="C10" s="49">
        <f>SUM(C7:C9)</f>
        <v/>
      </c>
      <c r="D10" s="49">
        <f>SUM(D7:D9)</f>
        <v/>
      </c>
      <c r="E10" s="49">
        <f>SUM(E7:E9)</f>
        <v/>
      </c>
      <c r="F10" s="49">
        <f>SUM(F7:F9)</f>
        <v/>
      </c>
      <c r="G10" s="49">
        <f>SUM(G7:G9)</f>
        <v/>
      </c>
      <c r="H10" s="49">
        <f>SUM(H7:H9)</f>
        <v/>
      </c>
      <c r="I10" s="49">
        <f>SUM(I7:I9)</f>
        <v/>
      </c>
      <c r="J10" s="49">
        <f>SUM(J7:J9)</f>
        <v/>
      </c>
      <c r="K10" s="49">
        <f>SUM(K7:K9)</f>
        <v/>
      </c>
      <c r="L10" s="49">
        <f>SUM(L7:L9)</f>
        <v/>
      </c>
      <c r="M10" s="49">
        <f>SUM(M7:M9)</f>
        <v/>
      </c>
      <c r="N10" s="49">
        <f>SUM(N7:N9)</f>
        <v/>
      </c>
      <c r="O10" s="49">
        <f>SUM(O7:O9)</f>
        <v/>
      </c>
    </row>
    <row r="11">
      <c r="B11" s="45" t="inlineStr">
        <is>
          <t>Payments</t>
        </is>
      </c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</row>
    <row r="12">
      <c r="B12" s="28" t="inlineStr">
        <is>
          <t xml:space="preserve">  Staff costs (net pay, tax, pensions)</t>
        </is>
      </c>
      <c r="C12" s="29" t="n">
        <v>955</v>
      </c>
      <c r="D12" s="29" t="n">
        <v>962</v>
      </c>
      <c r="E12" s="29" t="n">
        <v>958</v>
      </c>
      <c r="F12" s="29" t="n">
        <v>975</v>
      </c>
      <c r="G12" s="29" t="n">
        <v>960</v>
      </c>
      <c r="H12" s="29" t="n">
        <v>964</v>
      </c>
      <c r="I12" s="29" t="n">
        <v>956</v>
      </c>
      <c r="J12" s="29" t="n">
        <v>968</v>
      </c>
      <c r="K12" s="29" t="n">
        <v>961</v>
      </c>
      <c r="L12" s="29" t="n">
        <v>962</v>
      </c>
      <c r="M12" s="29" t="n">
        <v>975</v>
      </c>
      <c r="N12" s="29" t="n">
        <v>1005</v>
      </c>
      <c r="O12" s="48">
        <f>SUM(C12:N12)</f>
        <v/>
      </c>
    </row>
    <row r="13">
      <c r="B13" s="28" t="inlineStr">
        <is>
          <t xml:space="preserve">  Premises &amp; estates</t>
        </is>
      </c>
      <c r="C13" s="29" t="n">
        <v>110</v>
      </c>
      <c r="D13" s="29" t="n">
        <v>118</v>
      </c>
      <c r="E13" s="29" t="n">
        <v>105</v>
      </c>
      <c r="F13" s="29" t="n">
        <v>128</v>
      </c>
      <c r="G13" s="29" t="n">
        <v>112</v>
      </c>
      <c r="H13" s="29" t="n">
        <v>109</v>
      </c>
      <c r="I13" s="29" t="n">
        <v>104</v>
      </c>
      <c r="J13" s="29" t="n">
        <v>115</v>
      </c>
      <c r="K13" s="29" t="n">
        <v>103</v>
      </c>
      <c r="L13" s="29" t="n">
        <v>108</v>
      </c>
      <c r="M13" s="29" t="n">
        <v>112</v>
      </c>
      <c r="N13" s="29" t="n">
        <v>118</v>
      </c>
      <c r="O13" s="48">
        <f>SUM(C13:N13)</f>
        <v/>
      </c>
    </row>
    <row r="14">
      <c r="B14" s="28" t="inlineStr">
        <is>
          <t xml:space="preserve">  Supplies, ICT &amp; catering</t>
        </is>
      </c>
      <c r="C14" s="29" t="n">
        <v>148</v>
      </c>
      <c r="D14" s="29" t="n">
        <v>152</v>
      </c>
      <c r="E14" s="29" t="n">
        <v>145</v>
      </c>
      <c r="F14" s="29" t="n">
        <v>150</v>
      </c>
      <c r="G14" s="29" t="n">
        <v>146</v>
      </c>
      <c r="H14" s="29" t="n">
        <v>150</v>
      </c>
      <c r="I14" s="29" t="n">
        <v>148</v>
      </c>
      <c r="J14" s="29" t="n">
        <v>152</v>
      </c>
      <c r="K14" s="29" t="n">
        <v>147</v>
      </c>
      <c r="L14" s="29" t="n">
        <v>148</v>
      </c>
      <c r="M14" s="29" t="n">
        <v>152</v>
      </c>
      <c r="N14" s="29" t="n">
        <v>158</v>
      </c>
      <c r="O14" s="48">
        <f>SUM(C14:N14)</f>
        <v/>
      </c>
    </row>
    <row r="15">
      <c r="B15" s="28" t="inlineStr">
        <is>
          <t xml:space="preserve">  Capital expenditure</t>
        </is>
      </c>
      <c r="C15" s="29" t="n">
        <v>77</v>
      </c>
      <c r="D15" s="29" t="n">
        <v>78</v>
      </c>
      <c r="E15" s="29" t="n">
        <v>77</v>
      </c>
      <c r="F15" s="29" t="n">
        <v>77</v>
      </c>
      <c r="G15" s="29" t="n">
        <v>77</v>
      </c>
      <c r="H15" s="29" t="n">
        <v>82</v>
      </c>
      <c r="I15" s="29" t="n">
        <v>82</v>
      </c>
      <c r="J15" s="29" t="n">
        <v>80</v>
      </c>
      <c r="K15" s="29" t="n">
        <v>87</v>
      </c>
      <c r="L15" s="29" t="n">
        <v>87</v>
      </c>
      <c r="M15" s="29" t="n">
        <v>81</v>
      </c>
      <c r="N15" s="29" t="n">
        <v>79</v>
      </c>
      <c r="O15" s="48">
        <f>SUM(C15:N15)</f>
        <v/>
      </c>
    </row>
    <row r="16">
      <c r="B16" s="38" t="inlineStr">
        <is>
          <t>Total payments</t>
        </is>
      </c>
      <c r="C16" s="49">
        <f>SUM(C12:C15)</f>
        <v/>
      </c>
      <c r="D16" s="49">
        <f>SUM(D12:D15)</f>
        <v/>
      </c>
      <c r="E16" s="49">
        <f>SUM(E12:E15)</f>
        <v/>
      </c>
      <c r="F16" s="49">
        <f>SUM(F12:F15)</f>
        <v/>
      </c>
      <c r="G16" s="49">
        <f>SUM(G12:G15)</f>
        <v/>
      </c>
      <c r="H16" s="49">
        <f>SUM(H12:H15)</f>
        <v/>
      </c>
      <c r="I16" s="49">
        <f>SUM(I12:I15)</f>
        <v/>
      </c>
      <c r="J16" s="49">
        <f>SUM(J12:J15)</f>
        <v/>
      </c>
      <c r="K16" s="49">
        <f>SUM(K12:K15)</f>
        <v/>
      </c>
      <c r="L16" s="49">
        <f>SUM(L12:L15)</f>
        <v/>
      </c>
      <c r="M16" s="49">
        <f>SUM(M12:M15)</f>
        <v/>
      </c>
      <c r="N16" s="49">
        <f>SUM(N12:N15)</f>
        <v/>
      </c>
      <c r="O16" s="49">
        <f>SUM(O12:O15)</f>
        <v/>
      </c>
    </row>
    <row r="17">
      <c r="B17" s="50" t="inlineStr">
        <is>
          <t>Net cash inflow / (outflow)</t>
        </is>
      </c>
      <c r="C17" s="51">
        <f>C10-C16</f>
        <v/>
      </c>
      <c r="D17" s="51">
        <f>D10-D16</f>
        <v/>
      </c>
      <c r="E17" s="51">
        <f>E10-E16</f>
        <v/>
      </c>
      <c r="F17" s="51">
        <f>F10-F16</f>
        <v/>
      </c>
      <c r="G17" s="51">
        <f>G10-G16</f>
        <v/>
      </c>
      <c r="H17" s="51">
        <f>H10-H16</f>
        <v/>
      </c>
      <c r="I17" s="51">
        <f>I10-I16</f>
        <v/>
      </c>
      <c r="J17" s="51">
        <f>J10-J16</f>
        <v/>
      </c>
      <c r="K17" s="51">
        <f>K10-K16</f>
        <v/>
      </c>
      <c r="L17" s="51">
        <f>L10-L16</f>
        <v/>
      </c>
      <c r="M17" s="51">
        <f>M10-M16</f>
        <v/>
      </c>
      <c r="N17" s="51">
        <f>N10-N16</f>
        <v/>
      </c>
      <c r="O17" s="51">
        <f>O10-O16</f>
        <v/>
      </c>
    </row>
    <row r="18">
      <c r="B18" s="28" t="inlineStr">
        <is>
          <t>Opening balance</t>
        </is>
      </c>
      <c r="C18" s="29" t="n">
        <v>2255</v>
      </c>
      <c r="D18" s="29">
        <f>C19</f>
        <v/>
      </c>
      <c r="E18" s="29">
        <f>D19</f>
        <v/>
      </c>
      <c r="F18" s="29">
        <f>E19</f>
        <v/>
      </c>
      <c r="G18" s="29">
        <f>F19</f>
        <v/>
      </c>
      <c r="H18" s="29">
        <f>G19</f>
        <v/>
      </c>
      <c r="I18" s="29">
        <f>H19</f>
        <v/>
      </c>
      <c r="J18" s="29">
        <f>I19</f>
        <v/>
      </c>
      <c r="K18" s="29">
        <f>J19</f>
        <v/>
      </c>
      <c r="L18" s="29">
        <f>K19</f>
        <v/>
      </c>
      <c r="M18" s="29">
        <f>L19</f>
        <v/>
      </c>
      <c r="N18" s="29">
        <f>M19</f>
        <v/>
      </c>
    </row>
    <row r="19">
      <c r="B19" s="41" t="inlineStr">
        <is>
          <t>Closing balance</t>
        </is>
      </c>
      <c r="C19" s="52">
        <f>C18+C17</f>
        <v/>
      </c>
      <c r="D19" s="52">
        <f>D18+D17</f>
        <v/>
      </c>
      <c r="E19" s="52">
        <f>E18+E17</f>
        <v/>
      </c>
      <c r="F19" s="52">
        <f>F18+F17</f>
        <v/>
      </c>
      <c r="G19" s="52">
        <f>G18+G17</f>
        <v/>
      </c>
      <c r="H19" s="52">
        <f>H18+H17</f>
        <v/>
      </c>
      <c r="I19" s="52">
        <f>I18+I17</f>
        <v/>
      </c>
      <c r="J19" s="52">
        <f>J18+J17</f>
        <v/>
      </c>
      <c r="K19" s="52">
        <f>K18+K17</f>
        <v/>
      </c>
      <c r="L19" s="52">
        <f>L18+L17</f>
        <v/>
      </c>
      <c r="M19" s="52">
        <f>M18+M17</f>
        <v/>
      </c>
      <c r="N19" s="52">
        <f>N18+N17</f>
        <v/>
      </c>
    </row>
    <row r="21">
      <c r="B21" s="26" t="inlineStr">
        <is>
          <t>* Months marked with an asterisk are forecast. All figures £k. Closing balance highlights red if it falls below the trust's minimum cash policy (illustrative £1,300k ≈ 30 days of expenditure).</t>
        </is>
      </c>
    </row>
  </sheetData>
  <mergeCells count="2">
    <mergeCell ref="B3:O3"/>
    <mergeCell ref="B2:O2"/>
  </mergeCells>
  <conditionalFormatting sqref="C19:N19">
    <cfRule type="cellIs" priority="1" operator="lessThan" dxfId="1">
      <formula>1300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27"/>
    <outlinePr summaryBelow="1" summaryRight="1"/>
    <pageSetUpPr/>
  </sheetPr>
  <dimension ref="B2:H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1" customWidth="1" min="3" max="3"/>
    <col width="17" customWidth="1" min="4" max="4"/>
    <col width="13" customWidth="1" min="5" max="5"/>
    <col width="12" customWidth="1" min="6" max="6"/>
    <col width="52" customWidth="1" min="7" max="7"/>
  </cols>
  <sheetData>
    <row r="1" ht="6" customHeight="1"/>
    <row r="2" ht="30" customHeight="1">
      <c r="B2" s="1" t="inlineStr">
        <is>
          <t>Key Performance Indicators</t>
        </is>
      </c>
      <c r="C2" s="2" t="n"/>
      <c r="D2" s="2" t="n"/>
      <c r="E2" s="2" t="n"/>
      <c r="F2" s="2" t="n"/>
      <c r="G2" s="2" t="n"/>
      <c r="H2" s="2" t="n"/>
    </row>
    <row r="3" ht="18" customHeight="1">
      <c r="B3" s="3" t="inlineStr">
        <is>
          <t>DfE benchmark metrics — RAG rated against trust targets</t>
        </is>
      </c>
      <c r="C3" s="2" t="n"/>
      <c r="D3" s="2" t="n"/>
      <c r="E3" s="2" t="n"/>
      <c r="F3" s="2" t="n"/>
      <c r="G3" s="2" t="n"/>
      <c r="H3" s="2" t="n"/>
    </row>
    <row r="5">
      <c r="B5" s="44" t="inlineStr">
        <is>
          <t>Indicator</t>
        </is>
      </c>
      <c r="C5" s="44" t="inlineStr">
        <is>
          <t>Actual</t>
        </is>
      </c>
      <c r="D5" s="44" t="inlineStr">
        <is>
          <t>Target / Benchmark</t>
        </is>
      </c>
      <c r="E5" s="44" t="inlineStr">
        <is>
          <t>RAG</t>
        </is>
      </c>
      <c r="F5" s="44" t="inlineStr">
        <is>
          <t>Direction</t>
        </is>
      </c>
      <c r="G5" s="44" t="inlineStr">
        <is>
          <t>Notes</t>
        </is>
      </c>
    </row>
    <row r="6" ht="30" customHeight="1">
      <c r="B6" s="53" t="inlineStr">
        <is>
          <t>Staff costs as % of total income</t>
        </is>
      </c>
      <c r="C6" s="54" t="n">
        <v>0.787</v>
      </c>
      <c r="D6" s="55" t="inlineStr">
        <is>
          <t>&lt; 80%</t>
        </is>
      </c>
      <c r="E6" s="56" t="inlineStr">
        <is>
          <t>●  On target</t>
        </is>
      </c>
      <c r="F6" s="55" t="inlineStr">
        <is>
          <t>▼ improving</t>
        </is>
      </c>
      <c r="G6" s="57" t="inlineStr">
        <is>
          <t>DfE benchmark: most trusts 70–80%. Includes all staff cost lines.</t>
        </is>
      </c>
    </row>
    <row r="7" ht="30" customHeight="1">
      <c r="B7" s="58" t="inlineStr">
        <is>
          <t>Revenue reserves as % of income</t>
        </is>
      </c>
      <c r="C7" s="59" t="n">
        <v>0.123</v>
      </c>
      <c r="D7" s="60" t="inlineStr">
        <is>
          <t>5% – 15%</t>
        </is>
      </c>
      <c r="E7" s="56" t="inlineStr">
        <is>
          <t>●  On target</t>
        </is>
      </c>
      <c r="F7" s="60" t="inlineStr">
        <is>
          <t>▲ rising</t>
        </is>
      </c>
      <c r="G7" s="61" t="inlineStr">
        <is>
          <t>Restricted general + unrestricted funds vs annualised income.</t>
        </is>
      </c>
    </row>
    <row r="8" ht="30" customHeight="1">
      <c r="B8" s="53" t="inlineStr">
        <is>
          <t>Days cash in hand</t>
        </is>
      </c>
      <c r="C8" s="62" t="n">
        <v>56</v>
      </c>
      <c r="D8" s="55" t="inlineStr">
        <is>
          <t>&gt; 30 days</t>
        </is>
      </c>
      <c r="E8" s="56" t="inlineStr">
        <is>
          <t>●  On target</t>
        </is>
      </c>
      <c r="F8" s="55" t="inlineStr">
        <is>
          <t>▲ rising</t>
        </is>
      </c>
      <c r="G8" s="57" t="inlineStr">
        <is>
          <t>Cash balance ÷ average daily expenditure.</t>
        </is>
      </c>
    </row>
    <row r="9" ht="30" customHeight="1">
      <c r="B9" s="58" t="inlineStr">
        <is>
          <t>YTD I&amp;E variance to budget</t>
        </is>
      </c>
      <c r="C9" s="59" t="n">
        <v>0.012</v>
      </c>
      <c r="D9" s="60" t="inlineStr">
        <is>
          <t>± 2%</t>
        </is>
      </c>
      <c r="E9" s="56" t="inlineStr">
        <is>
          <t>●  On target</t>
        </is>
      </c>
      <c r="F9" s="60" t="inlineStr">
        <is>
          <t>— stable</t>
        </is>
      </c>
      <c r="G9" s="61" t="inlineStr">
        <is>
          <t>Net surplus variance as % of budgeted income.</t>
        </is>
      </c>
    </row>
    <row r="10" ht="30" customHeight="1">
      <c r="B10" s="53" t="inlineStr">
        <is>
          <t>Pupil numbers vs capacity</t>
        </is>
      </c>
      <c r="C10" s="54" t="n">
        <v>0.9429999999999999</v>
      </c>
      <c r="D10" s="55" t="inlineStr">
        <is>
          <t>&gt; 95%</t>
        </is>
      </c>
      <c r="E10" s="63" t="inlineStr">
        <is>
          <t>●  Watch</t>
        </is>
      </c>
      <c r="F10" s="55" t="inlineStr">
        <is>
          <t>▼ falling</t>
        </is>
      </c>
      <c r="G10" s="57" t="inlineStr">
        <is>
          <t>1,886 on roll vs 2,000 capacity. October census drives GAG lag.</t>
        </is>
      </c>
    </row>
    <row r="11" ht="30" customHeight="1">
      <c r="B11" s="58" t="inlineStr">
        <is>
          <t>Income per pupil</t>
        </is>
      </c>
      <c r="C11" s="64" t="n">
        <v>6290</v>
      </c>
      <c r="D11" s="60" t="inlineStr">
        <is>
          <t>Benchmark £6,150</t>
        </is>
      </c>
      <c r="E11" s="56" t="inlineStr">
        <is>
          <t>●  On target</t>
        </is>
      </c>
      <c r="F11" s="60" t="inlineStr">
        <is>
          <t>▲ rising</t>
        </is>
      </c>
      <c r="G11" s="61" t="inlineStr">
        <is>
          <t>Compare via DfE Schools Financial Benchmarking service.</t>
        </is>
      </c>
    </row>
    <row r="12" ht="30" customHeight="1">
      <c r="B12" s="53" t="inlineStr">
        <is>
          <t>Average teacher cost</t>
        </is>
      </c>
      <c r="C12" s="65" t="n">
        <v>58400</v>
      </c>
      <c r="D12" s="55" t="inlineStr">
        <is>
          <t>Benchmark £57,200</t>
        </is>
      </c>
      <c r="E12" s="63" t="inlineStr">
        <is>
          <t>●  Watch</t>
        </is>
      </c>
      <c r="F12" s="55" t="inlineStr">
        <is>
          <t>▲ rising</t>
        </is>
      </c>
      <c r="G12" s="57" t="inlineStr">
        <is>
          <t>Monitor pay award and pension employer contribution impact.</t>
        </is>
      </c>
    </row>
    <row r="13" ht="30" customHeight="1">
      <c r="B13" s="58" t="inlineStr">
        <is>
          <t>Energy &amp; estates cost per m²</t>
        </is>
      </c>
      <c r="C13" s="66" t="n">
        <v>31.2</v>
      </c>
      <c r="D13" s="60" t="inlineStr">
        <is>
          <t>Benchmark £29.50</t>
        </is>
      </c>
      <c r="E13" s="63" t="inlineStr">
        <is>
          <t>●  Watch</t>
        </is>
      </c>
      <c r="F13" s="60" t="inlineStr">
        <is>
          <t>▲ rising</t>
        </is>
      </c>
      <c r="G13" s="61" t="inlineStr">
        <is>
          <t>Above benchmark — estates review under way (see Commentary).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A7A7A"/>
    <outlinePr summaryBelow="1" summaryRight="1"/>
    <pageSetUpPr/>
  </sheetPr>
  <dimension ref="B2:H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8" customWidth="1" min="3" max="3"/>
    <col width="52" customWidth="1" min="4" max="4"/>
    <col width="40" customWidth="1" min="5" max="5"/>
    <col width="10" customWidth="1" min="6" max="6"/>
  </cols>
  <sheetData>
    <row r="1" ht="6" customHeight="1"/>
    <row r="2" ht="30" customHeight="1">
      <c r="B2" s="1" t="inlineStr">
        <is>
          <t>Variance Commentary &amp; Actions</t>
        </is>
      </c>
      <c r="C2" s="2" t="n"/>
      <c r="D2" s="2" t="n"/>
      <c r="E2" s="2" t="n"/>
      <c r="F2" s="2" t="n"/>
      <c r="G2" s="2" t="n"/>
      <c r="H2" s="2" t="n"/>
    </row>
    <row r="3" ht="18" customHeight="1">
      <c r="B3" s="3" t="inlineStr">
        <is>
          <t>Explain variances &gt; ±5% or ±£50k, risks, and mitigating actions</t>
        </is>
      </c>
      <c r="C3" s="2" t="n"/>
      <c r="D3" s="2" t="n"/>
      <c r="E3" s="2" t="n"/>
      <c r="F3" s="2" t="n"/>
      <c r="G3" s="2" t="n"/>
      <c r="H3" s="2" t="n"/>
    </row>
    <row r="5">
      <c r="B5" s="44" t="inlineStr">
        <is>
          <t>Area</t>
        </is>
      </c>
      <c r="C5" s="44" t="inlineStr">
        <is>
          <t>Variance</t>
        </is>
      </c>
      <c r="D5" s="44" t="inlineStr">
        <is>
          <t>Explanation</t>
        </is>
      </c>
      <c r="E5" s="44" t="inlineStr">
        <is>
          <t>Action / Owner</t>
        </is>
      </c>
      <c r="F5" s="44" t="inlineStr">
        <is>
          <t>Status</t>
        </is>
      </c>
    </row>
    <row r="6" ht="40" customHeight="1">
      <c r="B6" s="67" t="inlineStr">
        <is>
          <t>GAG income</t>
        </is>
      </c>
      <c r="C6" s="67" t="inlineStr">
        <is>
          <t>+£75k YTD</t>
        </is>
      </c>
      <c r="D6" s="67" t="inlineStr">
        <is>
          <t>In-year growth funding confirmed for September bulge class.</t>
        </is>
      </c>
      <c r="E6" s="67" t="inlineStr">
        <is>
          <t>Reflect in FY forecast — done. CFO</t>
        </is>
      </c>
      <c r="F6" s="67" t="inlineStr">
        <is>
          <t>Closed</t>
        </is>
      </c>
    </row>
    <row r="7" ht="40" customHeight="1">
      <c r="B7" s="68" t="inlineStr">
        <is>
          <t>Premises &amp; estates</t>
        </is>
      </c>
      <c r="C7" s="68" t="inlineStr">
        <is>
          <t>−£45k YTD (adverse)</t>
        </is>
      </c>
      <c r="D7" s="68" t="inlineStr">
        <is>
          <t>Reactive maintenance at two sites plus winter energy usage above plan.</t>
        </is>
      </c>
      <c r="E7" s="68" t="inlineStr">
        <is>
          <t>Estates condition survey commissioned; quotes for boiler replacement. Estates Manager</t>
        </is>
      </c>
      <c r="F7" s="68" t="inlineStr">
        <is>
          <t>Open</t>
        </is>
      </c>
    </row>
    <row r="8" ht="40" customHeight="1">
      <c r="B8" s="67" t="inlineStr">
        <is>
          <t>LA / SEN income</t>
        </is>
      </c>
      <c r="C8" s="67" t="inlineStr">
        <is>
          <t>−£28k YTD (adverse)</t>
        </is>
      </c>
      <c r="D8" s="67" t="inlineStr">
        <is>
          <t>EHCP top-up payments from LA running behind invoicing.</t>
        </is>
      </c>
      <c r="E8" s="67" t="inlineStr">
        <is>
          <t>Escalated with LA; aged debt review monthly. Finance Officer</t>
        </is>
      </c>
      <c r="F8" s="67" t="inlineStr">
        <is>
          <t>Open</t>
        </is>
      </c>
    </row>
    <row r="9" ht="40" customHeight="1">
      <c r="B9" s="68" t="inlineStr">
        <is>
          <t>Supply &amp; cover costs</t>
        </is>
      </c>
      <c r="C9" s="68" t="inlineStr">
        <is>
          <t>+£38k YTD (favourable)</t>
        </is>
      </c>
      <c r="D9" s="68" t="inlineStr">
        <is>
          <t>Lower sickness absence than budget assumption.</t>
        </is>
      </c>
      <c r="E9" s="68" t="inlineStr">
        <is>
          <t>Hold favourable variance; do not release until P11. CFO</t>
        </is>
      </c>
      <c r="F9" s="68" t="inlineStr">
        <is>
          <t>Monitor</t>
        </is>
      </c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2026-06-10T22:13:49Z</dcterms:created>
  <dcterms:modified xsi:type="dcterms:W3CDTF">2026-06-10T22:13:49Z</dcterms:modified>
</cp:coreProperties>
</file>